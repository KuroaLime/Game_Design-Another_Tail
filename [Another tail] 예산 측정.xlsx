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RK\Documents\GitHub\Game_Design-Another_Tail\"/>
    </mc:Choice>
  </mc:AlternateContent>
  <xr:revisionPtr revIDLastSave="0" documentId="13_ncr:1_{853CEA76-FAC1-41FF-8C5A-45C5DB5116B3}" xr6:coauthVersionLast="47" xr6:coauthVersionMax="47" xr10:uidLastSave="{00000000-0000-0000-0000-000000000000}"/>
  <bookViews>
    <workbookView xWindow="2415" yWindow="405" windowWidth="16350" windowHeight="12435" activeTab="1" xr2:uid="{00000000-000D-0000-FFFF-FFFF00000000}"/>
  </bookViews>
  <sheets>
    <sheet name="팀 구조" sheetId="1" r:id="rId1"/>
    <sheet name="예산 측정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3" l="1"/>
  <c r="H14" i="3"/>
  <c r="I14" i="3"/>
  <c r="H15" i="3"/>
  <c r="I15" i="3"/>
  <c r="H16" i="3"/>
  <c r="I16" i="3" s="1"/>
  <c r="H17" i="3"/>
  <c r="I17" i="3"/>
  <c r="H18" i="3"/>
  <c r="I18" i="3"/>
  <c r="H19" i="3"/>
  <c r="I19" i="3"/>
  <c r="H20" i="3"/>
  <c r="I20" i="3" s="1"/>
  <c r="H21" i="3"/>
  <c r="I21" i="3"/>
  <c r="H22" i="3"/>
  <c r="I22" i="3"/>
  <c r="H23" i="3"/>
  <c r="I23" i="3"/>
  <c r="H24" i="3"/>
  <c r="I24" i="3" s="1"/>
  <c r="H25" i="3"/>
  <c r="I25" i="3"/>
  <c r="H26" i="3"/>
  <c r="I26" i="3"/>
  <c r="G27" i="3"/>
  <c r="H27" i="3"/>
  <c r="I29" i="3"/>
  <c r="I30" i="3"/>
  <c r="I31" i="3"/>
  <c r="I32" i="3"/>
  <c r="I34" i="3"/>
  <c r="E41" i="3"/>
  <c r="H13" i="3"/>
  <c r="I13" i="3" s="1"/>
  <c r="H12" i="3"/>
  <c r="I12" i="3" s="1"/>
  <c r="H3" i="3"/>
  <c r="N12" i="3"/>
  <c r="O12" i="3"/>
  <c r="M10" i="3"/>
  <c r="N10" i="3"/>
  <c r="O10" i="3"/>
  <c r="M8" i="3"/>
  <c r="N8" i="3"/>
  <c r="O8" i="3"/>
  <c r="M6" i="3"/>
  <c r="N6" i="3"/>
  <c r="O6" i="3"/>
  <c r="I3" i="3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4" i="3"/>
  <c r="I4" i="3" s="1"/>
  <c r="B46" i="3" l="1"/>
</calcChain>
</file>

<file path=xl/sharedStrings.xml><?xml version="1.0" encoding="utf-8"?>
<sst xmlns="http://schemas.openxmlformats.org/spreadsheetml/2006/main" count="358" uniqueCount="212">
  <si>
    <t>기본 개발 직군 리스트업</t>
    <phoneticPr fontId="1" type="noConversion"/>
  </si>
  <si>
    <t>직군</t>
    <phoneticPr fontId="1" type="noConversion"/>
  </si>
  <si>
    <t>레벨</t>
    <phoneticPr fontId="1" type="noConversion"/>
  </si>
  <si>
    <t>인원</t>
    <phoneticPr fontId="1" type="noConversion"/>
  </si>
  <si>
    <t xml:space="preserve">참여 개월 수 </t>
    <phoneticPr fontId="1" type="noConversion"/>
  </si>
  <si>
    <t>비고</t>
    <phoneticPr fontId="1" type="noConversion"/>
  </si>
  <si>
    <t>장르</t>
    <phoneticPr fontId="1" type="noConversion"/>
  </si>
  <si>
    <t>플랫폼</t>
    <phoneticPr fontId="1" type="noConversion"/>
  </si>
  <si>
    <t>콘텐츠 규모</t>
    <phoneticPr fontId="1" type="noConversion"/>
  </si>
  <si>
    <t>기술 스펙</t>
    <phoneticPr fontId="1" type="noConversion"/>
  </si>
  <si>
    <t>JRPG</t>
    <phoneticPr fontId="1" type="noConversion"/>
  </si>
  <si>
    <t>타겟  퀄리티</t>
    <phoneticPr fontId="1" type="noConversion"/>
  </si>
  <si>
    <t>스토리비중 높음</t>
    <phoneticPr fontId="1" type="noConversion"/>
  </si>
  <si>
    <t>PC / 콘솔</t>
    <phoneticPr fontId="1" type="noConversion"/>
  </si>
  <si>
    <t>레벨 개수</t>
    <phoneticPr fontId="1" type="noConversion"/>
  </si>
  <si>
    <t>정적 모델 개수</t>
    <phoneticPr fontId="1" type="noConversion"/>
  </si>
  <si>
    <t>개발 목표</t>
    <phoneticPr fontId="1" type="noConversion"/>
  </si>
  <si>
    <t>메인 플레이타임 (시간)</t>
    <phoneticPr fontId="1" type="noConversion"/>
  </si>
  <si>
    <t xml:space="preserve">30 - 40 </t>
    <phoneticPr fontId="1" type="noConversion"/>
  </si>
  <si>
    <t>도시</t>
    <phoneticPr fontId="1" type="noConversion"/>
  </si>
  <si>
    <t>던전</t>
    <phoneticPr fontId="1" type="noConversion"/>
  </si>
  <si>
    <t>필드 맵</t>
    <phoneticPr fontId="1" type="noConversion"/>
  </si>
  <si>
    <t>특수 지역</t>
    <phoneticPr fontId="1" type="noConversion"/>
  </si>
  <si>
    <t>Unreal</t>
    <phoneticPr fontId="1" type="noConversion"/>
  </si>
  <si>
    <t>3년</t>
    <phoneticPr fontId="1" type="noConversion"/>
  </si>
  <si>
    <t>분류</t>
    <phoneticPr fontId="1" type="noConversion"/>
  </si>
  <si>
    <t>기획</t>
    <phoneticPr fontId="1" type="noConversion"/>
  </si>
  <si>
    <t>리드 게임 디자이너</t>
    <phoneticPr fontId="1" type="noConversion"/>
  </si>
  <si>
    <t>시스템 디자이너</t>
    <phoneticPr fontId="1" type="noConversion"/>
  </si>
  <si>
    <t>레벨 디자이너</t>
    <phoneticPr fontId="1" type="noConversion"/>
  </si>
  <si>
    <t>메인 시나리오 라이터</t>
    <phoneticPr fontId="1" type="noConversion"/>
  </si>
  <si>
    <t>서브궤스트 라이터</t>
    <phoneticPr fontId="1" type="noConversion"/>
  </si>
  <si>
    <t>프로그래밍</t>
    <phoneticPr fontId="1" type="noConversion"/>
  </si>
  <si>
    <t>리드 프로그래머</t>
    <phoneticPr fontId="1" type="noConversion"/>
  </si>
  <si>
    <t>게임플레이 프로그래머</t>
    <phoneticPr fontId="1" type="noConversion"/>
  </si>
  <si>
    <t>그래픽 / 렌더링 프로그래머</t>
    <phoneticPr fontId="1" type="noConversion"/>
  </si>
  <si>
    <t>아트</t>
    <phoneticPr fontId="1" type="noConversion"/>
  </si>
  <si>
    <t>아트 디렉터</t>
    <phoneticPr fontId="1" type="noConversion"/>
  </si>
  <si>
    <t>콘셉트 아티스트</t>
    <phoneticPr fontId="1" type="noConversion"/>
  </si>
  <si>
    <t>3D 캐릭터 아티스트</t>
    <phoneticPr fontId="1" type="noConversion"/>
  </si>
  <si>
    <t>3D 배경 아티스트</t>
    <phoneticPr fontId="1" type="noConversion"/>
  </si>
  <si>
    <t>애니메이터</t>
    <phoneticPr fontId="1" type="noConversion"/>
  </si>
  <si>
    <t>VFX 아티스트</t>
    <phoneticPr fontId="1" type="noConversion"/>
  </si>
  <si>
    <t>UI/UX 아티스트</t>
    <phoneticPr fontId="1" type="noConversion"/>
  </si>
  <si>
    <t>사운드</t>
    <phoneticPr fontId="1" type="noConversion"/>
  </si>
  <si>
    <t>메인 작곡가</t>
    <phoneticPr fontId="1" type="noConversion"/>
  </si>
  <si>
    <t>추가 작곡가</t>
    <phoneticPr fontId="1" type="noConversion"/>
  </si>
  <si>
    <t>사운드 디자이너(SFX)</t>
    <phoneticPr fontId="1" type="noConversion"/>
  </si>
  <si>
    <t>보이스 디렉터</t>
    <phoneticPr fontId="1" type="noConversion"/>
  </si>
  <si>
    <t>QA/PM/기타</t>
    <phoneticPr fontId="1" type="noConversion"/>
  </si>
  <si>
    <t>프로젝트 프로듀서</t>
    <phoneticPr fontId="1" type="noConversion"/>
  </si>
  <si>
    <t>QA 리더</t>
    <phoneticPr fontId="1" type="noConversion"/>
  </si>
  <si>
    <t>QA 테스터</t>
    <phoneticPr fontId="1" type="noConversion"/>
  </si>
  <si>
    <t>빌드/릴리즈 매니저</t>
    <phoneticPr fontId="1" type="noConversion"/>
  </si>
  <si>
    <t>운영/커뮤니티</t>
    <phoneticPr fontId="1" type="noConversion"/>
  </si>
  <si>
    <t>고급</t>
    <phoneticPr fontId="1" type="noConversion"/>
  </si>
  <si>
    <t>중급</t>
    <phoneticPr fontId="1" type="noConversion"/>
  </si>
  <si>
    <t>초급</t>
    <phoneticPr fontId="1" type="noConversion"/>
  </si>
  <si>
    <t>전체 기획 촉괄</t>
    <phoneticPr fontId="1" type="noConversion"/>
  </si>
  <si>
    <t>전투/성장/UI/퀘스트 설계</t>
    <phoneticPr fontId="1" type="noConversion"/>
  </si>
  <si>
    <t>도시/던전/필드 설계</t>
    <phoneticPr fontId="1" type="noConversion"/>
  </si>
  <si>
    <t>메인 시나리오 구상</t>
    <phoneticPr fontId="1" type="noConversion"/>
  </si>
  <si>
    <t>서브 퀘스트 구상</t>
    <phoneticPr fontId="1" type="noConversion"/>
  </si>
  <si>
    <t>전체 기술 설계</t>
    <phoneticPr fontId="1" type="noConversion"/>
  </si>
  <si>
    <t>전투/AI/스킬 구현</t>
    <phoneticPr fontId="1" type="noConversion"/>
  </si>
  <si>
    <t>최적화/조명/셰이더</t>
    <phoneticPr fontId="1" type="noConversion"/>
  </si>
  <si>
    <t>전체 아트 감독</t>
    <phoneticPr fontId="1" type="noConversion"/>
  </si>
  <si>
    <t>캐릭터/배경</t>
    <phoneticPr fontId="1" type="noConversion"/>
  </si>
  <si>
    <t>플레이어/보스/NP/몬스터</t>
    <phoneticPr fontId="1" type="noConversion"/>
  </si>
  <si>
    <t>도시/필드/던전</t>
    <phoneticPr fontId="1" type="noConversion"/>
  </si>
  <si>
    <t>플레이어/몬스터 애니</t>
    <phoneticPr fontId="1" type="noConversion"/>
  </si>
  <si>
    <t>스킬/마법/폭발/UIFX</t>
    <phoneticPr fontId="1" type="noConversion"/>
  </si>
  <si>
    <t>인게임 UI 전체</t>
    <phoneticPr fontId="1" type="noConversion"/>
  </si>
  <si>
    <t>메인 OST</t>
    <phoneticPr fontId="1" type="noConversion"/>
  </si>
  <si>
    <t>필드/던전 OST</t>
    <phoneticPr fontId="1" type="noConversion"/>
  </si>
  <si>
    <t>전투/환경/인터랙션</t>
    <phoneticPr fontId="1" type="noConversion"/>
  </si>
  <si>
    <t>성우 캐스팅/연출</t>
    <phoneticPr fontId="1" type="noConversion"/>
  </si>
  <si>
    <t>일정/예산/PM</t>
    <phoneticPr fontId="1" type="noConversion"/>
  </si>
  <si>
    <t>후반 품질 설계</t>
    <phoneticPr fontId="1" type="noConversion"/>
  </si>
  <si>
    <t>후반 집중 QA</t>
    <phoneticPr fontId="1" type="noConversion"/>
  </si>
  <si>
    <t>CI/CD 릴리즈</t>
    <phoneticPr fontId="1" type="noConversion"/>
  </si>
  <si>
    <t>출시 준비</t>
    <phoneticPr fontId="1" type="noConversion"/>
  </si>
  <si>
    <t>월 인건비(만원)</t>
    <phoneticPr fontId="1" type="noConversion"/>
  </si>
  <si>
    <t>FF7R급 연출</t>
    <phoneticPr fontId="1" type="noConversion"/>
  </si>
  <si>
    <t>전략 요소</t>
    <phoneticPr fontId="1" type="noConversion"/>
  </si>
  <si>
    <t>필드/탐험</t>
    <phoneticPr fontId="1" type="noConversion"/>
  </si>
  <si>
    <t>전투/스킬/보스전</t>
    <phoneticPr fontId="1" type="noConversion"/>
  </si>
  <si>
    <t>메인 컷신/주요 도시</t>
    <phoneticPr fontId="1" type="noConversion"/>
  </si>
  <si>
    <t>NPC/몬스터</t>
    <phoneticPr fontId="1" type="noConversion"/>
  </si>
  <si>
    <t>UI/사운드</t>
    <phoneticPr fontId="1" type="noConversion"/>
  </si>
  <si>
    <t>중급 3D</t>
    <phoneticPr fontId="1" type="noConversion"/>
  </si>
  <si>
    <t>AAA연출</t>
    <phoneticPr fontId="1" type="noConversion"/>
  </si>
  <si>
    <t>주요 모델 상위 퀄리티</t>
    <phoneticPr fontId="1" type="noConversion"/>
  </si>
  <si>
    <t>리깅/애니 재사용</t>
    <phoneticPr fontId="1" type="noConversion"/>
  </si>
  <si>
    <t>최고 퀄리티 유지</t>
    <phoneticPr fontId="1" type="noConversion"/>
  </si>
  <si>
    <t>콘텐츠 등급화</t>
    <phoneticPr fontId="1" type="noConversion"/>
  </si>
  <si>
    <t>콘텐츠</t>
    <phoneticPr fontId="1" type="noConversion"/>
  </si>
  <si>
    <t>등급</t>
    <phoneticPr fontId="1" type="noConversion"/>
  </si>
  <si>
    <t>핵심 던전</t>
    <phoneticPr fontId="1" type="noConversion"/>
  </si>
  <si>
    <t>보스 스테이지</t>
    <phoneticPr fontId="1" type="noConversion"/>
  </si>
  <si>
    <t>중간 던전</t>
    <phoneticPr fontId="1" type="noConversion"/>
  </si>
  <si>
    <t>주요 필드</t>
    <phoneticPr fontId="1" type="noConversion"/>
  </si>
  <si>
    <t>통로형 지역</t>
    <phoneticPr fontId="1" type="noConversion"/>
  </si>
  <si>
    <t>A</t>
    <phoneticPr fontId="1" type="noConversion"/>
  </si>
  <si>
    <t>C</t>
    <phoneticPr fontId="1" type="noConversion"/>
  </si>
  <si>
    <t>B</t>
    <phoneticPr fontId="1" type="noConversion"/>
  </si>
  <si>
    <t>필드 이동/탐험은 최적화와 스타일리쉬함에 집중(리소스절약)</t>
    <phoneticPr fontId="1" type="noConversion"/>
  </si>
  <si>
    <t>요약</t>
    <phoneticPr fontId="1" type="noConversion"/>
  </si>
  <si>
    <t>전투 진입 혹은 이벤트 컷신에서 카메라 워킹과 이펙트 비용을 투자하여 시각적 만족감을 주는 '선택과 집중'전략</t>
    <phoneticPr fontId="1" type="noConversion"/>
  </si>
  <si>
    <t>시네마틱 연출가</t>
    <phoneticPr fontId="1" type="noConversion"/>
  </si>
  <si>
    <t>언리얼 시퀸스 작업</t>
    <phoneticPr fontId="1" type="noConversion"/>
  </si>
  <si>
    <t>UI/시스템 프로그래머</t>
    <phoneticPr fontId="1" type="noConversion"/>
  </si>
  <si>
    <t>UI연출/ 최적화</t>
    <phoneticPr fontId="1" type="noConversion"/>
  </si>
  <si>
    <t>초급/중급</t>
    <phoneticPr fontId="1" type="noConversion"/>
  </si>
  <si>
    <t>1+2</t>
    <phoneticPr fontId="1" type="noConversion"/>
  </si>
  <si>
    <t>2+1</t>
    <phoneticPr fontId="1" type="noConversion"/>
  </si>
  <si>
    <t>외주</t>
    <phoneticPr fontId="1" type="noConversion"/>
  </si>
  <si>
    <t>3200 ~ 4400</t>
    <phoneticPr fontId="1" type="noConversion"/>
  </si>
  <si>
    <t>초급(1~4년차)</t>
    <phoneticPr fontId="1" type="noConversion"/>
  </si>
  <si>
    <t>중급(5~9)</t>
    <phoneticPr fontId="1" type="noConversion"/>
  </si>
  <si>
    <t>4800~ 6200</t>
    <phoneticPr fontId="1" type="noConversion"/>
  </si>
  <si>
    <t>고급(10년차이상)</t>
    <phoneticPr fontId="1" type="noConversion"/>
  </si>
  <si>
    <t>7000~7200</t>
    <phoneticPr fontId="1" type="noConversion"/>
  </si>
  <si>
    <t>연봉(만원)</t>
    <phoneticPr fontId="1" type="noConversion"/>
  </si>
  <si>
    <t>월급(만원)</t>
    <phoneticPr fontId="1" type="noConversion"/>
  </si>
  <si>
    <t>인건비 합계(만원)</t>
    <phoneticPr fontId="1" type="noConversion"/>
  </si>
  <si>
    <t>프로그래머</t>
    <phoneticPr fontId="1" type="noConversion"/>
  </si>
  <si>
    <t>QA</t>
    <phoneticPr fontId="1" type="noConversion"/>
  </si>
  <si>
    <t>인건비 합계(억원)</t>
    <phoneticPr fontId="1" type="noConversion"/>
  </si>
  <si>
    <t>운영</t>
    <phoneticPr fontId="1" type="noConversion"/>
  </si>
  <si>
    <t>장비/SW 구매</t>
    <phoneticPr fontId="1" type="noConversion"/>
  </si>
  <si>
    <t>회식비/워크샵비</t>
    <phoneticPr fontId="1" type="noConversion"/>
  </si>
  <si>
    <t>소프트웨어 라이선스</t>
    <phoneticPr fontId="1" type="noConversion"/>
  </si>
  <si>
    <t>인건비 단가표</t>
    <phoneticPr fontId="1" type="noConversion"/>
  </si>
  <si>
    <t>외주 단가표</t>
    <phoneticPr fontId="1" type="noConversion"/>
  </si>
  <si>
    <t>BGM</t>
    <phoneticPr fontId="1" type="noConversion"/>
  </si>
  <si>
    <t>메인 테마(보컬)</t>
    <phoneticPr fontId="1" type="noConversion"/>
  </si>
  <si>
    <t>전투/이벤트(고퀄리티)</t>
    <phoneticPr fontId="1" type="noConversion"/>
  </si>
  <si>
    <t>필드/던전(중간 퀄리티)</t>
    <phoneticPr fontId="1" type="noConversion"/>
  </si>
  <si>
    <t>효과음</t>
    <phoneticPr fontId="1" type="noConversion"/>
  </si>
  <si>
    <t>s급 성우</t>
    <phoneticPr fontId="1" type="noConversion"/>
  </si>
  <si>
    <t>A급 성우</t>
    <phoneticPr fontId="1" type="noConversion"/>
  </si>
  <si>
    <t>성우</t>
    <phoneticPr fontId="1" type="noConversion"/>
  </si>
  <si>
    <t>SFX</t>
    <phoneticPr fontId="1" type="noConversion"/>
  </si>
  <si>
    <t>구분</t>
    <phoneticPr fontId="1" type="noConversion"/>
  </si>
  <si>
    <t>단위</t>
    <phoneticPr fontId="1" type="noConversion"/>
  </si>
  <si>
    <t>평균 단가(만원)</t>
    <phoneticPr fontId="1" type="noConversion"/>
  </si>
  <si>
    <t>1곡</t>
    <phoneticPr fontId="1" type="noConversion"/>
  </si>
  <si>
    <t>10개</t>
    <phoneticPr fontId="1" type="noConversion"/>
  </si>
  <si>
    <t>1시간</t>
    <phoneticPr fontId="1" type="noConversion"/>
  </si>
  <si>
    <t>40~60</t>
    <phoneticPr fontId="1" type="noConversion"/>
  </si>
  <si>
    <t>150~250</t>
    <phoneticPr fontId="1" type="noConversion"/>
  </si>
  <si>
    <t>300~500</t>
    <phoneticPr fontId="1" type="noConversion"/>
  </si>
  <si>
    <t>800~1200</t>
    <phoneticPr fontId="1" type="noConversion"/>
  </si>
  <si>
    <t>유명 보컬 섭외 및 오케스트라 세션포함</t>
    <phoneticPr fontId="1" type="noConversion"/>
  </si>
  <si>
    <t>보스전, 핵심 컷신용 트랙</t>
    <phoneticPr fontId="1" type="noConversion"/>
  </si>
  <si>
    <t>일반적인 루프 BGM</t>
    <phoneticPr fontId="1" type="noConversion"/>
  </si>
  <si>
    <t>스킬, 타격,UI 환경음 등</t>
    <phoneticPr fontId="1" type="noConversion"/>
  </si>
  <si>
    <t>팬덤이 두터운 유명 성우</t>
    <phoneticPr fontId="1" type="noConversion"/>
  </si>
  <si>
    <t>일반적인 프로 성우</t>
    <phoneticPr fontId="1" type="noConversion"/>
  </si>
  <si>
    <t>단가</t>
    <phoneticPr fontId="1" type="noConversion"/>
  </si>
  <si>
    <t>제작 수</t>
    <phoneticPr fontId="1" type="noConversion"/>
  </si>
  <si>
    <t>12(개월)</t>
    <phoneticPr fontId="1" type="noConversion"/>
  </si>
  <si>
    <t>스튜디오</t>
    <phoneticPr fontId="1" type="noConversion"/>
  </si>
  <si>
    <t>인원/수량</t>
    <phoneticPr fontId="1" type="noConversion"/>
  </si>
  <si>
    <t>기간(개월/회)</t>
    <phoneticPr fontId="1" type="noConversion"/>
  </si>
  <si>
    <t>33명</t>
    <phoneticPr fontId="1" type="noConversion"/>
  </si>
  <si>
    <t>36개월</t>
    <phoneticPr fontId="1" type="noConversion"/>
  </si>
  <si>
    <t>총 금액(억원)</t>
    <phoneticPr fontId="1" type="noConversion"/>
  </si>
  <si>
    <t>부서 운영비(워크샵 포함)</t>
    <phoneticPr fontId="1" type="noConversion"/>
  </si>
  <si>
    <t>1식</t>
    <phoneticPr fontId="1" type="noConversion"/>
  </si>
  <si>
    <t>4회</t>
    <phoneticPr fontId="1" type="noConversion"/>
  </si>
  <si>
    <t>단가(만원)</t>
    <phoneticPr fontId="1" type="noConversion"/>
  </si>
  <si>
    <t>1회</t>
    <phoneticPr fontId="1" type="noConversion"/>
  </si>
  <si>
    <t>특수 플러그인, 에셋 구독</t>
    <phoneticPr fontId="1" type="noConversion"/>
  </si>
  <si>
    <t>고가 에셋 구매</t>
    <phoneticPr fontId="1" type="noConversion"/>
  </si>
  <si>
    <t>FGT 및 외주 추가비</t>
    <phoneticPr fontId="1" type="noConversion"/>
  </si>
  <si>
    <t>합계</t>
    <phoneticPr fontId="1" type="noConversion"/>
  </si>
  <si>
    <t>총(만원)</t>
    <phoneticPr fontId="1" type="noConversion"/>
  </si>
  <si>
    <t>Risk 예비비</t>
    <phoneticPr fontId="1" type="noConversion"/>
  </si>
  <si>
    <t>수량/기간</t>
    <phoneticPr fontId="1" type="noConversion"/>
  </si>
  <si>
    <t>총 개발비 5%</t>
    <phoneticPr fontId="1" type="noConversion"/>
  </si>
  <si>
    <t>-</t>
    <phoneticPr fontId="1" type="noConversion"/>
  </si>
  <si>
    <t>물가/환율 변동, 긴급 이슈 대응 및 SW라이선스 인상분 대비</t>
    <phoneticPr fontId="1" type="noConversion"/>
  </si>
  <si>
    <t>총액(억원)</t>
    <phoneticPr fontId="1" type="noConversion"/>
  </si>
  <si>
    <t>예산 측정</t>
    <phoneticPr fontId="1" type="noConversion"/>
  </si>
  <si>
    <t>예비</t>
    <phoneticPr fontId="1" type="noConversion"/>
  </si>
  <si>
    <t>8~12</t>
    <phoneticPr fontId="1" type="noConversion"/>
  </si>
  <si>
    <t>80~120</t>
    <phoneticPr fontId="1" type="noConversion"/>
  </si>
  <si>
    <t>총 예산 측정(억원)</t>
    <phoneticPr fontId="1" type="noConversion"/>
  </si>
  <si>
    <t>다음 페이지 : 예산 측정</t>
    <phoneticPr fontId="1" type="noConversion"/>
  </si>
  <si>
    <t>1차 피드백</t>
    <phoneticPr fontId="1" type="noConversion"/>
  </si>
  <si>
    <t>PM과 어드바이저가 빠졌다.</t>
    <phoneticPr fontId="1" type="noConversion"/>
  </si>
  <si>
    <t>게임 디자이너 PM</t>
    <phoneticPr fontId="1" type="noConversion"/>
  </si>
  <si>
    <t>프로그래머 PM</t>
    <phoneticPr fontId="1" type="noConversion"/>
  </si>
  <si>
    <t>네트워크 관리</t>
    <phoneticPr fontId="1" type="noConversion"/>
  </si>
  <si>
    <t>아트 디렉터 PM</t>
    <phoneticPr fontId="1" type="noConversion"/>
  </si>
  <si>
    <t>툴/파이프라인 프로그래머</t>
    <phoneticPr fontId="1" type="noConversion"/>
  </si>
  <si>
    <t>중급/상급</t>
    <phoneticPr fontId="1" type="noConversion"/>
  </si>
  <si>
    <t>.</t>
    <phoneticPr fontId="1" type="noConversion"/>
  </si>
  <si>
    <t>오늘날 아트 쪽이 많이 침체기다. 인원수 조정하라</t>
    <phoneticPr fontId="1" type="noConversion"/>
  </si>
  <si>
    <t>피드백</t>
    <phoneticPr fontId="1" type="noConversion"/>
  </si>
  <si>
    <t>반영 결과</t>
    <phoneticPr fontId="1" type="noConversion"/>
  </si>
  <si>
    <t>기획PM 2명, 프로그래머 PM 2명, 아트 PM 1명 추가</t>
    <phoneticPr fontId="1" type="noConversion"/>
  </si>
  <si>
    <t>아트 인원 13명에서 11명 감소,</t>
    <phoneticPr fontId="1" type="noConversion"/>
  </si>
  <si>
    <t>네트워크/백엔드 프로그래머</t>
    <phoneticPr fontId="1" type="noConversion"/>
  </si>
  <si>
    <t>3+3</t>
    <phoneticPr fontId="1" type="noConversion"/>
  </si>
  <si>
    <t>AI/전투 프로그래머</t>
    <phoneticPr fontId="1" type="noConversion"/>
  </si>
  <si>
    <t>객체의 AI 및 전투 구현</t>
    <phoneticPr fontId="1" type="noConversion"/>
  </si>
  <si>
    <t>게임 기본 골자 구현 및 수정</t>
    <phoneticPr fontId="1" type="noConversion"/>
  </si>
  <si>
    <t>프로그래머 인원수 21명으로 조정</t>
    <phoneticPr fontId="1" type="noConversion"/>
  </si>
  <si>
    <t>기획 인원수 19명으로 조정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</si>
</sst>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sz val="14"/>
      <color theme="1"/>
      <name val="맑은 고딕"/>
      <family val="2"/>
      <scheme val="minor"/>
    </font>
    <font>
      <sz val="16"/>
      <color theme="1"/>
      <name val="맑은 고딕"/>
      <family val="2"/>
      <scheme val="minor"/>
    </font>
    <font>
      <sz val="20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12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/>
    <xf numFmtId="0" fontId="0" fillId="3" borderId="0" xfId="0" applyFill="1"/>
    <xf numFmtId="0" fontId="0" fillId="0" borderId="7" xfId="0" applyBorder="1"/>
    <xf numFmtId="0" fontId="0" fillId="0" borderId="0" xfId="0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5" xfId="0" applyFill="1" applyBorder="1"/>
    <xf numFmtId="0" fontId="0" fillId="5" borderId="7" xfId="0" applyFill="1" applyBorder="1"/>
    <xf numFmtId="0" fontId="0" fillId="5" borderId="8" xfId="0" applyFill="1" applyBorder="1"/>
    <xf numFmtId="0" fontId="0" fillId="0" borderId="5" xfId="0" applyBorder="1"/>
    <xf numFmtId="0" fontId="0" fillId="2" borderId="12" xfId="0" applyFill="1" applyBorder="1" applyAlignment="1">
      <alignment horizontal="center" vertical="center"/>
    </xf>
    <xf numFmtId="0" fontId="0" fillId="2" borderId="2" xfId="0" applyFill="1" applyBorder="1"/>
    <xf numFmtId="0" fontId="0" fillId="4" borderId="1" xfId="0" applyFill="1" applyBorder="1"/>
    <xf numFmtId="0" fontId="0" fillId="0" borderId="3" xfId="0" applyBorder="1" applyAlignment="1">
      <alignment horizontal="right"/>
    </xf>
    <xf numFmtId="0" fontId="0" fillId="2" borderId="0" xfId="0" applyFill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2" borderId="8" xfId="0" applyFill="1" applyBorder="1" applyAlignment="1">
      <alignment horizontal="center" vertical="center"/>
    </xf>
    <xf numFmtId="0" fontId="3" fillId="5" borderId="0" xfId="0" applyFont="1" applyFill="1"/>
    <xf numFmtId="0" fontId="4" fillId="5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4" borderId="0" xfId="0" applyFont="1" applyFill="1"/>
    <xf numFmtId="0" fontId="0" fillId="4" borderId="0" xfId="0" applyFill="1"/>
    <xf numFmtId="0" fontId="2" fillId="4" borderId="0" xfId="0" applyFont="1" applyFill="1"/>
    <xf numFmtId="0" fontId="4" fillId="4" borderId="0" xfId="0" applyFont="1" applyFill="1"/>
    <xf numFmtId="0" fontId="0" fillId="0" borderId="15" xfId="0" applyBorder="1"/>
    <xf numFmtId="0" fontId="0" fillId="0" borderId="1" xfId="0" applyBorder="1"/>
    <xf numFmtId="0" fontId="0" fillId="6" borderId="1" xfId="0" applyFill="1" applyBorder="1"/>
    <xf numFmtId="0" fontId="0" fillId="6" borderId="3" xfId="0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4" xfId="0" applyFill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4" xfId="0" applyFont="1" applyFill="1" applyBorder="1"/>
    <xf numFmtId="0" fontId="2" fillId="6" borderId="7" xfId="0" applyFont="1" applyFill="1" applyBorder="1"/>
    <xf numFmtId="0" fontId="2" fillId="0" borderId="0" xfId="0" applyFont="1" applyAlignment="1">
      <alignment horizontal="left"/>
    </xf>
    <xf numFmtId="0" fontId="2" fillId="0" borderId="10" xfId="0" applyFont="1" applyBorder="1" applyAlignment="1">
      <alignment horizontal="left"/>
    </xf>
    <xf numFmtId="0" fontId="2" fillId="0" borderId="0" xfId="0" applyFont="1"/>
    <xf numFmtId="0" fontId="2" fillId="0" borderId="10" xfId="0" applyFont="1" applyBorder="1"/>
    <xf numFmtId="0" fontId="2" fillId="6" borderId="8" xfId="0" applyFont="1" applyFill="1" applyBorder="1"/>
    <xf numFmtId="0" fontId="2" fillId="0" borderId="9" xfId="0" applyFont="1" applyBorder="1"/>
    <xf numFmtId="0" fontId="2" fillId="0" borderId="11" xfId="0" applyFont="1" applyBorder="1"/>
    <xf numFmtId="0" fontId="0" fillId="0" borderId="12" xfId="0" applyBorder="1"/>
    <xf numFmtId="0" fontId="0" fillId="0" borderId="2" xfId="0" applyBorder="1" applyAlignment="1">
      <alignment horizontal="right"/>
    </xf>
    <xf numFmtId="3" fontId="0" fillId="0" borderId="9" xfId="0" applyNumberFormat="1" applyBorder="1"/>
    <xf numFmtId="0" fontId="0" fillId="6" borderId="1" xfId="0" applyFill="1" applyBorder="1" applyAlignment="1">
      <alignment horizontal="center"/>
    </xf>
    <xf numFmtId="0" fontId="2" fillId="6" borderId="5" xfId="0" applyFont="1" applyFill="1" applyBorder="1"/>
    <xf numFmtId="0" fontId="4" fillId="5" borderId="1" xfId="0" applyFont="1" applyFill="1" applyBorder="1"/>
    <xf numFmtId="0" fontId="4" fillId="0" borderId="2" xfId="0" applyFont="1" applyBorder="1"/>
    <xf numFmtId="0" fontId="0" fillId="5" borderId="9" xfId="0" applyFill="1" applyBorder="1"/>
    <xf numFmtId="0" fontId="0" fillId="5" borderId="11" xfId="0" applyFill="1" applyBorder="1"/>
    <xf numFmtId="0" fontId="0" fillId="6" borderId="13" xfId="0" applyFill="1" applyBorder="1"/>
    <xf numFmtId="0" fontId="0" fillId="5" borderId="14" xfId="0" applyFill="1" applyBorder="1"/>
    <xf numFmtId="0" fontId="0" fillId="5" borderId="14" xfId="0" applyFill="1" applyBorder="1" applyAlignment="1">
      <alignment horizontal="center"/>
    </xf>
    <xf numFmtId="0" fontId="4" fillId="6" borderId="0" xfId="0" applyFont="1" applyFill="1"/>
    <xf numFmtId="0" fontId="7" fillId="7" borderId="0" xfId="0" applyFont="1" applyFill="1"/>
    <xf numFmtId="0" fontId="0" fillId="7" borderId="0" xfId="0" applyFill="1"/>
    <xf numFmtId="0" fontId="0" fillId="5" borderId="0" xfId="0" applyFill="1"/>
    <xf numFmtId="0" fontId="8" fillId="8" borderId="12" xfId="0" applyFont="1" applyFill="1" applyBorder="1"/>
    <xf numFmtId="0" fontId="9" fillId="0" borderId="0" xfId="0" applyFont="1"/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8" borderId="7" xfId="0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0" fontId="9" fillId="8" borderId="3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0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zoomScale="85" zoomScaleNormal="85" workbookViewId="0">
      <selection activeCell="H26" sqref="H26"/>
    </sheetView>
  </sheetViews>
  <sheetFormatPr defaultRowHeight="16.5" x14ac:dyDescent="0.3"/>
  <cols>
    <col min="1" max="1" width="11.875" bestFit="1" customWidth="1"/>
    <col min="2" max="2" width="25.125" bestFit="1" customWidth="1"/>
    <col min="3" max="3" width="15.875" customWidth="1"/>
    <col min="4" max="5" width="21.5" bestFit="1" customWidth="1"/>
    <col min="6" max="6" width="23.25" bestFit="1" customWidth="1"/>
    <col min="7" max="7" width="11.125" bestFit="1" customWidth="1"/>
    <col min="8" max="8" width="20.875" bestFit="1" customWidth="1"/>
    <col min="9" max="9" width="17.25" bestFit="1" customWidth="1"/>
    <col min="10" max="10" width="19.375" bestFit="1" customWidth="1"/>
    <col min="11" max="11" width="21.375" bestFit="1" customWidth="1"/>
  </cols>
  <sheetData>
    <row r="1" spans="1:11" ht="26.25" x14ac:dyDescent="0.45">
      <c r="A1" s="38"/>
      <c r="B1" s="38"/>
      <c r="C1" s="38" t="s">
        <v>0</v>
      </c>
      <c r="D1" s="38"/>
      <c r="E1" s="38"/>
      <c r="F1" s="38"/>
    </row>
    <row r="2" spans="1:11" x14ac:dyDescent="0.3">
      <c r="A2" s="4" t="s">
        <v>25</v>
      </c>
      <c r="B2" s="20" t="s">
        <v>1</v>
      </c>
      <c r="C2" s="20" t="s">
        <v>2</v>
      </c>
      <c r="D2" s="20" t="s">
        <v>3</v>
      </c>
      <c r="E2" s="20" t="s">
        <v>4</v>
      </c>
      <c r="F2" s="21" t="s">
        <v>5</v>
      </c>
      <c r="I2" s="4" t="s">
        <v>6</v>
      </c>
      <c r="J2" s="1" t="s">
        <v>10</v>
      </c>
    </row>
    <row r="3" spans="1:11" x14ac:dyDescent="0.3">
      <c r="A3" s="22" t="s">
        <v>26</v>
      </c>
      <c r="B3" s="13" t="s">
        <v>27</v>
      </c>
      <c r="C3" s="13" t="s">
        <v>55</v>
      </c>
      <c r="D3" s="13">
        <v>1</v>
      </c>
      <c r="E3" s="13">
        <v>36</v>
      </c>
      <c r="F3" s="5" t="s">
        <v>58</v>
      </c>
      <c r="I3" s="4" t="s">
        <v>11</v>
      </c>
      <c r="J3" s="2" t="s">
        <v>83</v>
      </c>
      <c r="K3" s="3" t="s">
        <v>12</v>
      </c>
    </row>
    <row r="4" spans="1:11" x14ac:dyDescent="0.3">
      <c r="A4" s="23"/>
      <c r="B4" t="s">
        <v>28</v>
      </c>
      <c r="C4" t="s">
        <v>113</v>
      </c>
      <c r="D4" s="16" t="s">
        <v>114</v>
      </c>
      <c r="E4">
        <v>30</v>
      </c>
      <c r="F4" s="8" t="s">
        <v>59</v>
      </c>
      <c r="I4" s="4" t="s">
        <v>7</v>
      </c>
      <c r="J4" s="3" t="s">
        <v>13</v>
      </c>
    </row>
    <row r="5" spans="1:11" x14ac:dyDescent="0.3">
      <c r="A5" s="23"/>
      <c r="B5" t="s">
        <v>29</v>
      </c>
      <c r="C5" t="s">
        <v>113</v>
      </c>
      <c r="D5" s="16" t="s">
        <v>115</v>
      </c>
      <c r="E5">
        <v>28</v>
      </c>
      <c r="F5" s="8" t="s">
        <v>60</v>
      </c>
      <c r="H5" s="12" t="s">
        <v>8</v>
      </c>
      <c r="I5" s="10" t="s">
        <v>17</v>
      </c>
      <c r="J5" s="5" t="s">
        <v>18</v>
      </c>
    </row>
    <row r="6" spans="1:11" x14ac:dyDescent="0.3">
      <c r="A6" s="23"/>
      <c r="B6" t="s">
        <v>30</v>
      </c>
      <c r="C6" t="s">
        <v>56</v>
      </c>
      <c r="D6" s="16">
        <v>1</v>
      </c>
      <c r="E6">
        <v>18</v>
      </c>
      <c r="F6" s="8" t="s">
        <v>61</v>
      </c>
      <c r="I6" s="11" t="s">
        <v>14</v>
      </c>
      <c r="J6" s="14" t="s">
        <v>19</v>
      </c>
      <c r="K6" s="5">
        <v>6</v>
      </c>
    </row>
    <row r="7" spans="1:11" x14ac:dyDescent="0.3">
      <c r="A7" s="24"/>
      <c r="B7" s="7" t="s">
        <v>31</v>
      </c>
      <c r="C7" s="7" t="s">
        <v>56</v>
      </c>
      <c r="D7" s="18">
        <v>1</v>
      </c>
      <c r="E7" s="7">
        <v>18</v>
      </c>
      <c r="F7" s="9" t="s">
        <v>62</v>
      </c>
      <c r="I7" s="11"/>
      <c r="J7" s="14" t="s">
        <v>20</v>
      </c>
      <c r="K7" s="8">
        <v>7</v>
      </c>
    </row>
    <row r="8" spans="1:11" x14ac:dyDescent="0.3">
      <c r="A8" s="25" t="s">
        <v>32</v>
      </c>
      <c r="B8" s="13" t="s">
        <v>33</v>
      </c>
      <c r="C8" s="13" t="s">
        <v>55</v>
      </c>
      <c r="D8" s="19">
        <v>1</v>
      </c>
      <c r="E8" s="13">
        <v>36</v>
      </c>
      <c r="F8" s="5" t="s">
        <v>63</v>
      </c>
      <c r="I8" s="11"/>
      <c r="J8" s="14" t="s">
        <v>21</v>
      </c>
      <c r="K8" s="8">
        <v>6</v>
      </c>
    </row>
    <row r="9" spans="1:11" x14ac:dyDescent="0.3">
      <c r="A9" s="26"/>
      <c r="B9" t="s">
        <v>34</v>
      </c>
      <c r="C9" t="s">
        <v>56</v>
      </c>
      <c r="D9" s="16">
        <v>2</v>
      </c>
      <c r="E9">
        <v>30</v>
      </c>
      <c r="F9" s="8" t="s">
        <v>64</v>
      </c>
      <c r="I9" s="11"/>
      <c r="J9" s="14" t="s">
        <v>22</v>
      </c>
      <c r="K9" s="9">
        <v>12</v>
      </c>
    </row>
    <row r="10" spans="1:11" x14ac:dyDescent="0.3">
      <c r="A10" s="26"/>
      <c r="B10" t="s">
        <v>35</v>
      </c>
      <c r="C10" t="s">
        <v>55</v>
      </c>
      <c r="D10" s="16">
        <v>1</v>
      </c>
      <c r="E10">
        <v>30</v>
      </c>
      <c r="F10" s="8" t="s">
        <v>65</v>
      </c>
      <c r="I10" s="11" t="s">
        <v>15</v>
      </c>
      <c r="J10" s="8">
        <v>87</v>
      </c>
    </row>
    <row r="11" spans="1:11" x14ac:dyDescent="0.3">
      <c r="A11" s="27"/>
      <c r="B11" s="7" t="s">
        <v>111</v>
      </c>
      <c r="C11" s="7" t="s">
        <v>56</v>
      </c>
      <c r="D11" s="18">
        <v>1</v>
      </c>
      <c r="E11" s="7">
        <v>30</v>
      </c>
      <c r="F11" s="9" t="s">
        <v>112</v>
      </c>
      <c r="I11" s="11" t="s">
        <v>9</v>
      </c>
      <c r="J11" s="8" t="s">
        <v>23</v>
      </c>
    </row>
    <row r="12" spans="1:11" x14ac:dyDescent="0.3">
      <c r="A12" s="22" t="s">
        <v>36</v>
      </c>
      <c r="B12" s="13" t="s">
        <v>37</v>
      </c>
      <c r="C12" s="13" t="s">
        <v>55</v>
      </c>
      <c r="D12" s="19">
        <v>1</v>
      </c>
      <c r="E12" s="13">
        <v>36</v>
      </c>
      <c r="F12" s="5" t="s">
        <v>66</v>
      </c>
      <c r="I12" s="36" t="s">
        <v>16</v>
      </c>
      <c r="J12" s="9" t="s">
        <v>24</v>
      </c>
    </row>
    <row r="13" spans="1:11" x14ac:dyDescent="0.3">
      <c r="A13" s="23"/>
      <c r="B13" t="s">
        <v>38</v>
      </c>
      <c r="C13" t="s">
        <v>56</v>
      </c>
      <c r="D13" s="16">
        <v>2</v>
      </c>
      <c r="E13">
        <v>25</v>
      </c>
      <c r="F13" s="8" t="s">
        <v>67</v>
      </c>
      <c r="H13" s="6"/>
    </row>
    <row r="14" spans="1:11" x14ac:dyDescent="0.3">
      <c r="A14" s="23"/>
      <c r="B14" t="s">
        <v>39</v>
      </c>
      <c r="C14" t="s">
        <v>56</v>
      </c>
      <c r="D14" s="16">
        <v>2</v>
      </c>
      <c r="E14">
        <v>30</v>
      </c>
      <c r="F14" s="8" t="s">
        <v>68</v>
      </c>
      <c r="H14" s="6"/>
      <c r="I14" s="29" t="s">
        <v>84</v>
      </c>
      <c r="J14" s="28" t="s">
        <v>85</v>
      </c>
      <c r="K14" s="5" t="s">
        <v>90</v>
      </c>
    </row>
    <row r="15" spans="1:11" x14ac:dyDescent="0.3">
      <c r="A15" s="23"/>
      <c r="B15" t="s">
        <v>40</v>
      </c>
      <c r="C15" t="s">
        <v>113</v>
      </c>
      <c r="D15" s="16" t="s">
        <v>115</v>
      </c>
      <c r="E15">
        <v>30</v>
      </c>
      <c r="F15" s="8" t="s">
        <v>69</v>
      </c>
      <c r="H15" s="6"/>
      <c r="J15" s="15" t="s">
        <v>86</v>
      </c>
      <c r="K15" s="8" t="s">
        <v>91</v>
      </c>
    </row>
    <row r="16" spans="1:11" x14ac:dyDescent="0.3">
      <c r="A16" s="23"/>
      <c r="B16" t="s">
        <v>41</v>
      </c>
      <c r="C16" t="s">
        <v>56</v>
      </c>
      <c r="D16" s="16">
        <v>2</v>
      </c>
      <c r="E16">
        <v>28</v>
      </c>
      <c r="F16" s="8" t="s">
        <v>70</v>
      </c>
      <c r="J16" s="15" t="s">
        <v>87</v>
      </c>
      <c r="K16" s="8" t="s">
        <v>92</v>
      </c>
    </row>
    <row r="17" spans="1:15" x14ac:dyDescent="0.3">
      <c r="A17" s="23"/>
      <c r="B17" t="s">
        <v>109</v>
      </c>
      <c r="C17" t="s">
        <v>56</v>
      </c>
      <c r="D17" s="16">
        <v>1</v>
      </c>
      <c r="E17">
        <v>24</v>
      </c>
      <c r="F17" s="8" t="s">
        <v>110</v>
      </c>
      <c r="J17" s="15" t="s">
        <v>88</v>
      </c>
      <c r="K17" s="8" t="s">
        <v>93</v>
      </c>
    </row>
    <row r="18" spans="1:15" x14ac:dyDescent="0.3">
      <c r="A18" s="23"/>
      <c r="B18" t="s">
        <v>42</v>
      </c>
      <c r="C18" t="s">
        <v>56</v>
      </c>
      <c r="D18" s="16">
        <v>2</v>
      </c>
      <c r="E18">
        <v>24</v>
      </c>
      <c r="F18" s="8" t="s">
        <v>71</v>
      </c>
      <c r="J18" s="15" t="s">
        <v>89</v>
      </c>
      <c r="K18" s="8" t="s">
        <v>94</v>
      </c>
    </row>
    <row r="19" spans="1:15" x14ac:dyDescent="0.3">
      <c r="A19" s="24"/>
      <c r="B19" s="7" t="s">
        <v>43</v>
      </c>
      <c r="C19" s="7" t="s">
        <v>56</v>
      </c>
      <c r="D19" s="18">
        <v>1</v>
      </c>
      <c r="E19" s="7">
        <v>20</v>
      </c>
      <c r="F19" s="9" t="s">
        <v>72</v>
      </c>
      <c r="H19" s="33" t="s">
        <v>107</v>
      </c>
      <c r="I19" s="34" t="s">
        <v>106</v>
      </c>
      <c r="J19" s="28"/>
      <c r="K19" s="13"/>
      <c r="L19" s="13"/>
      <c r="M19" s="13"/>
      <c r="N19" s="13"/>
      <c r="O19" s="5"/>
    </row>
    <row r="20" spans="1:15" x14ac:dyDescent="0.3">
      <c r="A20" s="22" t="s">
        <v>49</v>
      </c>
      <c r="B20" s="13" t="s">
        <v>50</v>
      </c>
      <c r="C20" s="13" t="s">
        <v>55</v>
      </c>
      <c r="D20" s="19">
        <v>1</v>
      </c>
      <c r="E20" s="13">
        <v>36</v>
      </c>
      <c r="F20" s="5" t="s">
        <v>77</v>
      </c>
      <c r="I20" s="35" t="s">
        <v>108</v>
      </c>
      <c r="J20" s="17"/>
      <c r="K20" s="7"/>
      <c r="L20" s="7"/>
      <c r="M20" s="7"/>
      <c r="N20" s="7"/>
      <c r="O20" s="9"/>
    </row>
    <row r="21" spans="1:15" x14ac:dyDescent="0.3">
      <c r="A21" s="23"/>
      <c r="B21" t="s">
        <v>51</v>
      </c>
      <c r="C21" t="s">
        <v>56</v>
      </c>
      <c r="D21" s="16">
        <v>1</v>
      </c>
      <c r="E21">
        <v>18</v>
      </c>
      <c r="F21" s="8" t="s">
        <v>78</v>
      </c>
    </row>
    <row r="22" spans="1:15" x14ac:dyDescent="0.3">
      <c r="A22" s="23"/>
      <c r="B22" t="s">
        <v>53</v>
      </c>
      <c r="C22" t="s">
        <v>56</v>
      </c>
      <c r="D22" s="16">
        <v>1</v>
      </c>
      <c r="E22">
        <v>24</v>
      </c>
      <c r="F22" s="8" t="s">
        <v>80</v>
      </c>
      <c r="I22" t="s">
        <v>95</v>
      </c>
      <c r="J22" s="12" t="s">
        <v>96</v>
      </c>
      <c r="K22" s="30" t="s">
        <v>97</v>
      </c>
    </row>
    <row r="23" spans="1:15" x14ac:dyDescent="0.3">
      <c r="A23" s="24"/>
      <c r="B23" s="7" t="s">
        <v>54</v>
      </c>
      <c r="C23" s="7" t="s">
        <v>57</v>
      </c>
      <c r="D23" s="18">
        <v>1</v>
      </c>
      <c r="E23" s="7">
        <v>6</v>
      </c>
      <c r="F23" s="9" t="s">
        <v>81</v>
      </c>
      <c r="J23" s="28" t="s">
        <v>19</v>
      </c>
      <c r="K23" s="5" t="s">
        <v>103</v>
      </c>
    </row>
    <row r="24" spans="1:15" x14ac:dyDescent="0.3">
      <c r="J24" s="15" t="s">
        <v>98</v>
      </c>
      <c r="K24" s="8" t="s">
        <v>103</v>
      </c>
    </row>
    <row r="25" spans="1:15" ht="26.25" x14ac:dyDescent="0.45">
      <c r="A25" s="44"/>
      <c r="B25" s="44"/>
      <c r="C25" s="44"/>
      <c r="D25" s="44" t="s">
        <v>116</v>
      </c>
      <c r="E25" s="44"/>
      <c r="F25" s="44"/>
      <c r="J25" s="15" t="s">
        <v>99</v>
      </c>
      <c r="K25" s="8" t="s">
        <v>103</v>
      </c>
    </row>
    <row r="26" spans="1:15" x14ac:dyDescent="0.3">
      <c r="A26" s="25" t="s">
        <v>44</v>
      </c>
      <c r="B26" s="13" t="s">
        <v>45</v>
      </c>
      <c r="C26" s="13" t="s">
        <v>55</v>
      </c>
      <c r="D26" s="19">
        <v>1</v>
      </c>
      <c r="E26" s="13">
        <v>14</v>
      </c>
      <c r="F26" s="5" t="s">
        <v>73</v>
      </c>
      <c r="J26" s="15" t="s">
        <v>100</v>
      </c>
      <c r="K26" s="8" t="s">
        <v>105</v>
      </c>
    </row>
    <row r="27" spans="1:15" x14ac:dyDescent="0.3">
      <c r="A27" s="26"/>
      <c r="B27" t="s">
        <v>46</v>
      </c>
      <c r="C27" t="s">
        <v>56</v>
      </c>
      <c r="D27" s="16">
        <v>1</v>
      </c>
      <c r="E27">
        <v>7</v>
      </c>
      <c r="F27" s="8" t="s">
        <v>74</v>
      </c>
      <c r="J27" s="15" t="s">
        <v>101</v>
      </c>
      <c r="K27" s="8" t="s">
        <v>105</v>
      </c>
    </row>
    <row r="28" spans="1:15" x14ac:dyDescent="0.3">
      <c r="A28" s="26"/>
      <c r="B28" t="s">
        <v>47</v>
      </c>
      <c r="C28" t="s">
        <v>56</v>
      </c>
      <c r="D28" s="16">
        <v>1</v>
      </c>
      <c r="E28">
        <v>18</v>
      </c>
      <c r="F28" s="8" t="s">
        <v>75</v>
      </c>
      <c r="J28" s="15" t="s">
        <v>102</v>
      </c>
      <c r="K28" s="8" t="s">
        <v>104</v>
      </c>
    </row>
    <row r="29" spans="1:15" x14ac:dyDescent="0.3">
      <c r="A29" s="27"/>
      <c r="B29" s="7" t="s">
        <v>48</v>
      </c>
      <c r="C29" s="7" t="s">
        <v>55</v>
      </c>
      <c r="D29" s="18">
        <v>1</v>
      </c>
      <c r="E29" s="7">
        <v>4</v>
      </c>
      <c r="F29" s="9" t="s">
        <v>76</v>
      </c>
      <c r="J29" s="17" t="s">
        <v>22</v>
      </c>
      <c r="K29" s="9" t="s">
        <v>104</v>
      </c>
    </row>
    <row r="30" spans="1:15" x14ac:dyDescent="0.3">
      <c r="A30" s="31" t="s">
        <v>49</v>
      </c>
      <c r="B30" s="2" t="s">
        <v>52</v>
      </c>
      <c r="C30" s="2" t="s">
        <v>57</v>
      </c>
      <c r="D30" s="32">
        <v>4</v>
      </c>
      <c r="E30" s="2">
        <v>12</v>
      </c>
      <c r="F30" s="3" t="s">
        <v>79</v>
      </c>
    </row>
    <row r="35" spans="4:5" ht="31.5" x14ac:dyDescent="0.55000000000000004">
      <c r="D35" s="77" t="s">
        <v>190</v>
      </c>
      <c r="E35" s="7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940-0B95-4E42-9EE1-D16687E05FB1}">
  <dimension ref="A1:O47"/>
  <sheetViews>
    <sheetView tabSelected="1" topLeftCell="J1" zoomScale="70" zoomScaleNormal="70" workbookViewId="0">
      <selection sqref="A1:S50"/>
    </sheetView>
  </sheetViews>
  <sheetFormatPr defaultRowHeight="16.5" x14ac:dyDescent="0.3"/>
  <cols>
    <col min="1" max="1" width="30" bestFit="1" customWidth="1"/>
    <col min="2" max="2" width="26.375" bestFit="1" customWidth="1"/>
    <col min="3" max="3" width="13.125" bestFit="1" customWidth="1"/>
    <col min="4" max="4" width="10.25" bestFit="1" customWidth="1"/>
    <col min="5" max="5" width="13" bestFit="1" customWidth="1"/>
    <col min="6" max="6" width="24.5" bestFit="1" customWidth="1"/>
    <col min="7" max="7" width="15.125" bestFit="1" customWidth="1"/>
    <col min="8" max="8" width="17.25" bestFit="1" customWidth="1"/>
    <col min="9" max="9" width="17.875" bestFit="1" customWidth="1"/>
    <col min="10" max="11" width="11" bestFit="1" customWidth="1"/>
    <col min="12" max="12" width="28.375" bestFit="1" customWidth="1"/>
    <col min="13" max="13" width="17.625" bestFit="1" customWidth="1"/>
    <col min="14" max="14" width="14.625" bestFit="1" customWidth="1"/>
    <col min="15" max="15" width="43.25" bestFit="1" customWidth="1"/>
  </cols>
  <sheetData>
    <row r="1" spans="1:15" ht="26.25" x14ac:dyDescent="0.45">
      <c r="A1" s="76"/>
      <c r="B1" s="76"/>
      <c r="C1" s="76"/>
      <c r="D1" s="76"/>
      <c r="E1" s="76" t="s">
        <v>185</v>
      </c>
      <c r="F1" s="76"/>
      <c r="G1" s="76"/>
      <c r="H1" s="76"/>
      <c r="I1" s="76"/>
    </row>
    <row r="2" spans="1:15" ht="26.25" x14ac:dyDescent="0.5">
      <c r="A2" s="4" t="s">
        <v>25</v>
      </c>
      <c r="B2" s="20" t="s">
        <v>1</v>
      </c>
      <c r="C2" s="20" t="s">
        <v>2</v>
      </c>
      <c r="D2" s="20" t="s">
        <v>3</v>
      </c>
      <c r="E2" s="20" t="s">
        <v>4</v>
      </c>
      <c r="F2" s="21" t="s">
        <v>5</v>
      </c>
      <c r="G2" s="21" t="s">
        <v>82</v>
      </c>
      <c r="H2" s="21" t="s">
        <v>125</v>
      </c>
      <c r="I2" s="21" t="s">
        <v>128</v>
      </c>
      <c r="L2" s="39"/>
      <c r="M2" s="39" t="s">
        <v>133</v>
      </c>
      <c r="N2" s="40"/>
      <c r="O2" s="40"/>
    </row>
    <row r="3" spans="1:15" ht="20.25" x14ac:dyDescent="0.35">
      <c r="A3" s="22" t="s">
        <v>26</v>
      </c>
      <c r="B3" s="13" t="s">
        <v>193</v>
      </c>
      <c r="C3" s="13" t="s">
        <v>55</v>
      </c>
      <c r="D3" s="13">
        <v>2</v>
      </c>
      <c r="E3" s="13">
        <v>36</v>
      </c>
      <c r="F3" s="5" t="s">
        <v>58</v>
      </c>
      <c r="G3" s="34">
        <v>1200</v>
      </c>
      <c r="H3" s="34">
        <f>G3*E3</f>
        <v>43200</v>
      </c>
      <c r="I3" s="5">
        <f>H3/10000</f>
        <v>4.32</v>
      </c>
      <c r="L3" s="53"/>
      <c r="M3" s="54" t="s">
        <v>118</v>
      </c>
      <c r="N3" s="54" t="s">
        <v>119</v>
      </c>
      <c r="O3" s="55" t="s">
        <v>121</v>
      </c>
    </row>
    <row r="4" spans="1:15" ht="20.25" x14ac:dyDescent="0.35">
      <c r="A4" s="23"/>
      <c r="B4" t="s">
        <v>28</v>
      </c>
      <c r="C4" t="s">
        <v>113</v>
      </c>
      <c r="D4" s="16" t="s">
        <v>206</v>
      </c>
      <c r="E4">
        <v>30</v>
      </c>
      <c r="F4" s="8" t="s">
        <v>59</v>
      </c>
      <c r="G4" s="45">
        <v>1856</v>
      </c>
      <c r="H4" s="45">
        <f>G4*E4</f>
        <v>55680</v>
      </c>
      <c r="I4" s="8">
        <f>H4/10000</f>
        <v>5.5679999999999996</v>
      </c>
      <c r="K4" s="64" t="s">
        <v>26</v>
      </c>
      <c r="L4" s="56" t="s">
        <v>123</v>
      </c>
      <c r="M4" s="57" t="s">
        <v>117</v>
      </c>
      <c r="N4" s="57" t="s">
        <v>120</v>
      </c>
      <c r="O4" s="58" t="s">
        <v>122</v>
      </c>
    </row>
    <row r="5" spans="1:15" ht="20.25" x14ac:dyDescent="0.35">
      <c r="A5" s="23"/>
      <c r="B5" t="s">
        <v>29</v>
      </c>
      <c r="C5" t="s">
        <v>113</v>
      </c>
      <c r="D5" s="16" t="s">
        <v>206</v>
      </c>
      <c r="E5">
        <v>28</v>
      </c>
      <c r="F5" s="8" t="s">
        <v>60</v>
      </c>
      <c r="G5" s="45">
        <v>2010</v>
      </c>
      <c r="H5" s="45">
        <f t="shared" ref="H5:H11" si="0">G5*E5</f>
        <v>56280</v>
      </c>
      <c r="I5" s="8">
        <f t="shared" ref="I5:I11" si="1">H5/10000</f>
        <v>5.6280000000000001</v>
      </c>
      <c r="L5" s="56" t="s">
        <v>124</v>
      </c>
      <c r="M5" s="59">
        <v>315</v>
      </c>
      <c r="N5" s="59">
        <v>460</v>
      </c>
      <c r="O5" s="60">
        <v>600</v>
      </c>
    </row>
    <row r="6" spans="1:15" ht="20.25" x14ac:dyDescent="0.35">
      <c r="A6" s="23"/>
      <c r="B6" t="s">
        <v>30</v>
      </c>
      <c r="C6" t="s">
        <v>56</v>
      </c>
      <c r="D6" s="16">
        <v>2</v>
      </c>
      <c r="E6">
        <v>18</v>
      </c>
      <c r="F6" s="8" t="s">
        <v>61</v>
      </c>
      <c r="G6" s="45">
        <v>920</v>
      </c>
      <c r="H6" s="45">
        <f t="shared" si="0"/>
        <v>16560</v>
      </c>
      <c r="I6" s="8">
        <f t="shared" si="1"/>
        <v>1.6559999999999999</v>
      </c>
      <c r="K6" s="64" t="s">
        <v>126</v>
      </c>
      <c r="L6" s="56" t="s">
        <v>123</v>
      </c>
      <c r="M6" s="57">
        <f t="shared" ref="M6:N6" si="2">M7*12</f>
        <v>4560</v>
      </c>
      <c r="N6" s="57">
        <f t="shared" si="2"/>
        <v>7800</v>
      </c>
      <c r="O6" s="58">
        <f>O7*12</f>
        <v>10200</v>
      </c>
    </row>
    <row r="7" spans="1:15" ht="20.25" x14ac:dyDescent="0.35">
      <c r="A7" s="24"/>
      <c r="B7" s="7" t="s">
        <v>31</v>
      </c>
      <c r="C7" s="7" t="s">
        <v>56</v>
      </c>
      <c r="D7" s="18">
        <v>3</v>
      </c>
      <c r="E7" s="7">
        <v>18</v>
      </c>
      <c r="F7" s="9" t="s">
        <v>62</v>
      </c>
      <c r="G7" s="45">
        <v>1380</v>
      </c>
      <c r="H7" s="45">
        <f t="shared" si="0"/>
        <v>24840</v>
      </c>
      <c r="I7" s="8">
        <f t="shared" si="1"/>
        <v>2.484</v>
      </c>
      <c r="L7" s="56" t="s">
        <v>124</v>
      </c>
      <c r="M7" s="59">
        <v>380</v>
      </c>
      <c r="N7" s="59">
        <v>650</v>
      </c>
      <c r="O7" s="60">
        <v>850</v>
      </c>
    </row>
    <row r="8" spans="1:15" ht="20.25" x14ac:dyDescent="0.35">
      <c r="A8" s="25" t="s">
        <v>32</v>
      </c>
      <c r="B8" s="13" t="s">
        <v>194</v>
      </c>
      <c r="C8" s="13" t="s">
        <v>55</v>
      </c>
      <c r="D8" s="19">
        <v>2</v>
      </c>
      <c r="E8" s="13">
        <v>36</v>
      </c>
      <c r="F8" s="5" t="s">
        <v>63</v>
      </c>
      <c r="G8" s="45">
        <v>1700</v>
      </c>
      <c r="H8" s="45">
        <f t="shared" si="0"/>
        <v>61200</v>
      </c>
      <c r="I8" s="8">
        <f t="shared" si="1"/>
        <v>6.12</v>
      </c>
      <c r="K8" s="64" t="s">
        <v>36</v>
      </c>
      <c r="L8" s="56" t="s">
        <v>123</v>
      </c>
      <c r="M8" s="57">
        <f t="shared" ref="M8:N8" si="3">M9*12</f>
        <v>3840</v>
      </c>
      <c r="N8" s="57">
        <f t="shared" si="3"/>
        <v>5760</v>
      </c>
      <c r="O8" s="58">
        <f>O9*12</f>
        <v>8400</v>
      </c>
    </row>
    <row r="9" spans="1:15" ht="20.25" x14ac:dyDescent="0.35">
      <c r="A9" s="26"/>
      <c r="B9" t="s">
        <v>34</v>
      </c>
      <c r="C9" t="s">
        <v>56</v>
      </c>
      <c r="D9" s="16">
        <v>5</v>
      </c>
      <c r="E9">
        <v>30</v>
      </c>
      <c r="F9" s="8" t="s">
        <v>64</v>
      </c>
      <c r="G9" s="45">
        <v>3250</v>
      </c>
      <c r="H9" s="45">
        <f t="shared" si="0"/>
        <v>97500</v>
      </c>
      <c r="I9" s="8">
        <f t="shared" si="1"/>
        <v>9.75</v>
      </c>
      <c r="L9" s="56" t="s">
        <v>124</v>
      </c>
      <c r="M9" s="59">
        <v>320</v>
      </c>
      <c r="N9" s="59">
        <v>480</v>
      </c>
      <c r="O9" s="60">
        <v>700</v>
      </c>
    </row>
    <row r="10" spans="1:15" ht="20.25" x14ac:dyDescent="0.35">
      <c r="A10" s="26"/>
      <c r="B10" t="s">
        <v>35</v>
      </c>
      <c r="C10" t="s">
        <v>55</v>
      </c>
      <c r="D10" s="16">
        <v>2</v>
      </c>
      <c r="E10">
        <v>30</v>
      </c>
      <c r="F10" s="8" t="s">
        <v>65</v>
      </c>
      <c r="G10" s="45">
        <v>1700</v>
      </c>
      <c r="H10" s="45">
        <f t="shared" si="0"/>
        <v>51000</v>
      </c>
      <c r="I10" s="8">
        <f t="shared" si="1"/>
        <v>5.0999999999999996</v>
      </c>
      <c r="K10" s="64" t="s">
        <v>127</v>
      </c>
      <c r="L10" s="56" t="s">
        <v>123</v>
      </c>
      <c r="M10" s="57">
        <f t="shared" ref="M10:N10" si="4">M11*12</f>
        <v>3000</v>
      </c>
      <c r="N10" s="57">
        <f t="shared" si="4"/>
        <v>5040</v>
      </c>
      <c r="O10" s="58">
        <f>O11*12</f>
        <v>8400</v>
      </c>
    </row>
    <row r="11" spans="1:15" ht="20.25" x14ac:dyDescent="0.35">
      <c r="A11" s="26"/>
      <c r="B11" t="s">
        <v>111</v>
      </c>
      <c r="C11" t="s">
        <v>56</v>
      </c>
      <c r="D11" s="16">
        <v>2</v>
      </c>
      <c r="E11">
        <v>30</v>
      </c>
      <c r="F11" s="8" t="s">
        <v>112</v>
      </c>
      <c r="G11" s="45">
        <v>1300</v>
      </c>
      <c r="H11" s="45">
        <f t="shared" si="0"/>
        <v>39000</v>
      </c>
      <c r="I11" s="8">
        <f t="shared" si="1"/>
        <v>3.9</v>
      </c>
      <c r="L11" s="56" t="s">
        <v>124</v>
      </c>
      <c r="M11" s="59">
        <v>250</v>
      </c>
      <c r="N11" s="59">
        <v>420</v>
      </c>
      <c r="O11" s="60">
        <v>700</v>
      </c>
    </row>
    <row r="12" spans="1:15" ht="20.25" x14ac:dyDescent="0.35">
      <c r="A12" s="79"/>
      <c r="B12" t="s">
        <v>205</v>
      </c>
      <c r="C12" t="s">
        <v>56</v>
      </c>
      <c r="D12" s="16">
        <v>4</v>
      </c>
      <c r="E12">
        <v>30</v>
      </c>
      <c r="F12" t="s">
        <v>195</v>
      </c>
      <c r="G12" s="45">
        <v>2600</v>
      </c>
      <c r="H12" s="45">
        <f t="shared" ref="H12" si="5">G12*E12</f>
        <v>78000</v>
      </c>
      <c r="I12" s="8">
        <f t="shared" ref="I12" si="6">H12/10000</f>
        <v>7.8</v>
      </c>
      <c r="K12" s="64" t="s">
        <v>116</v>
      </c>
      <c r="L12" s="56" t="s">
        <v>123</v>
      </c>
      <c r="M12" s="57"/>
      <c r="N12" s="57">
        <f>N13*12</f>
        <v>6000</v>
      </c>
      <c r="O12" s="58">
        <f>O13*12</f>
        <v>9600</v>
      </c>
    </row>
    <row r="13" spans="1:15" ht="20.25" x14ac:dyDescent="0.35">
      <c r="A13" s="79"/>
      <c r="B13" t="s">
        <v>197</v>
      </c>
      <c r="C13" t="s">
        <v>198</v>
      </c>
      <c r="D13" s="16" t="s">
        <v>115</v>
      </c>
      <c r="E13">
        <v>30</v>
      </c>
      <c r="F13" t="s">
        <v>209</v>
      </c>
      <c r="G13" s="45">
        <v>2150</v>
      </c>
      <c r="H13" s="45">
        <f t="shared" ref="H13" si="7">G13*E13</f>
        <v>64500</v>
      </c>
      <c r="I13" s="8">
        <f t="shared" ref="I13" si="8">H13/10000</f>
        <v>6.45</v>
      </c>
      <c r="L13" s="61" t="s">
        <v>124</v>
      </c>
      <c r="M13" s="62"/>
      <c r="N13" s="62">
        <v>500</v>
      </c>
      <c r="O13" s="63">
        <v>800</v>
      </c>
    </row>
    <row r="14" spans="1:15" x14ac:dyDescent="0.3">
      <c r="A14" s="79"/>
      <c r="B14" t="s">
        <v>207</v>
      </c>
      <c r="C14" t="s">
        <v>198</v>
      </c>
      <c r="D14" s="16" t="s">
        <v>115</v>
      </c>
      <c r="E14">
        <v>30</v>
      </c>
      <c r="F14" t="s">
        <v>208</v>
      </c>
      <c r="G14" s="45">
        <v>2150</v>
      </c>
      <c r="H14" s="45">
        <f t="shared" ref="H14:H26" si="9">G14*E14</f>
        <v>64500</v>
      </c>
      <c r="I14" s="8">
        <f t="shared" ref="I14:I26" si="10">H14/10000</f>
        <v>6.45</v>
      </c>
    </row>
    <row r="15" spans="1:15" ht="26.25" x14ac:dyDescent="0.5">
      <c r="A15" s="22" t="s">
        <v>36</v>
      </c>
      <c r="B15" s="13" t="s">
        <v>196</v>
      </c>
      <c r="C15" s="13" t="s">
        <v>55</v>
      </c>
      <c r="D15" s="19">
        <v>1</v>
      </c>
      <c r="E15" s="13">
        <v>36</v>
      </c>
      <c r="F15" s="5" t="s">
        <v>66</v>
      </c>
      <c r="G15" s="45">
        <v>700</v>
      </c>
      <c r="H15" s="45">
        <f t="shared" si="9"/>
        <v>25200</v>
      </c>
      <c r="I15" s="8">
        <f t="shared" si="10"/>
        <v>2.52</v>
      </c>
      <c r="L15" s="37"/>
      <c r="M15" s="37" t="s">
        <v>134</v>
      </c>
      <c r="N15" s="37"/>
      <c r="O15" s="37"/>
    </row>
    <row r="16" spans="1:15" ht="20.25" x14ac:dyDescent="0.35">
      <c r="A16" s="23"/>
      <c r="B16" t="s">
        <v>38</v>
      </c>
      <c r="C16" t="s">
        <v>56</v>
      </c>
      <c r="D16" s="16">
        <v>1</v>
      </c>
      <c r="E16">
        <v>25</v>
      </c>
      <c r="F16" s="8" t="s">
        <v>67</v>
      </c>
      <c r="G16" s="45">
        <v>480</v>
      </c>
      <c r="H16" s="45">
        <f t="shared" si="9"/>
        <v>12000</v>
      </c>
      <c r="I16" s="8">
        <f t="shared" si="10"/>
        <v>1.2</v>
      </c>
      <c r="L16" s="68" t="s">
        <v>144</v>
      </c>
      <c r="M16" s="13" t="s">
        <v>145</v>
      </c>
      <c r="N16" s="13" t="s">
        <v>146</v>
      </c>
      <c r="O16" s="5" t="s">
        <v>5</v>
      </c>
    </row>
    <row r="17" spans="1:15" ht="20.25" x14ac:dyDescent="0.35">
      <c r="A17" s="23"/>
      <c r="B17" t="s">
        <v>39</v>
      </c>
      <c r="C17" t="s">
        <v>56</v>
      </c>
      <c r="D17" s="16">
        <v>1</v>
      </c>
      <c r="E17">
        <v>30</v>
      </c>
      <c r="F17" s="8" t="s">
        <v>68</v>
      </c>
      <c r="G17" s="45">
        <v>480</v>
      </c>
      <c r="H17" s="45">
        <f t="shared" si="9"/>
        <v>14400</v>
      </c>
      <c r="I17" s="8">
        <f t="shared" si="10"/>
        <v>1.44</v>
      </c>
      <c r="K17" s="46" t="s">
        <v>135</v>
      </c>
      <c r="L17" s="56" t="s">
        <v>136</v>
      </c>
      <c r="M17" t="s">
        <v>147</v>
      </c>
      <c r="N17" t="s">
        <v>153</v>
      </c>
      <c r="O17" s="8" t="s">
        <v>154</v>
      </c>
    </row>
    <row r="18" spans="1:15" ht="20.25" x14ac:dyDescent="0.35">
      <c r="A18" s="23"/>
      <c r="B18" t="s">
        <v>40</v>
      </c>
      <c r="C18" t="s">
        <v>113</v>
      </c>
      <c r="D18" s="16">
        <v>2</v>
      </c>
      <c r="E18">
        <v>30</v>
      </c>
      <c r="F18" s="8" t="s">
        <v>69</v>
      </c>
      <c r="G18" s="45">
        <v>800</v>
      </c>
      <c r="H18" s="45">
        <f t="shared" si="9"/>
        <v>24000</v>
      </c>
      <c r="I18" s="8">
        <f t="shared" si="10"/>
        <v>2.4</v>
      </c>
      <c r="L18" s="56" t="s">
        <v>137</v>
      </c>
      <c r="M18" t="s">
        <v>147</v>
      </c>
      <c r="N18" t="s">
        <v>152</v>
      </c>
      <c r="O18" s="8" t="s">
        <v>155</v>
      </c>
    </row>
    <row r="19" spans="1:15" ht="20.25" x14ac:dyDescent="0.35">
      <c r="A19" s="23"/>
      <c r="B19" t="s">
        <v>41</v>
      </c>
      <c r="C19" t="s">
        <v>56</v>
      </c>
      <c r="D19" s="16">
        <v>2</v>
      </c>
      <c r="E19">
        <v>28</v>
      </c>
      <c r="F19" s="8" t="s">
        <v>70</v>
      </c>
      <c r="G19" s="45">
        <v>960</v>
      </c>
      <c r="H19" s="45">
        <f t="shared" si="9"/>
        <v>26880</v>
      </c>
      <c r="I19" s="8">
        <f t="shared" si="10"/>
        <v>2.6880000000000002</v>
      </c>
      <c r="L19" s="56" t="s">
        <v>138</v>
      </c>
      <c r="M19" t="s">
        <v>147</v>
      </c>
      <c r="N19" t="s">
        <v>151</v>
      </c>
      <c r="O19" s="8" t="s">
        <v>156</v>
      </c>
    </row>
    <row r="20" spans="1:15" ht="20.25" x14ac:dyDescent="0.35">
      <c r="A20" s="23"/>
      <c r="B20" t="s">
        <v>109</v>
      </c>
      <c r="C20" t="s">
        <v>56</v>
      </c>
      <c r="D20" s="16">
        <v>1</v>
      </c>
      <c r="E20">
        <v>24</v>
      </c>
      <c r="F20" s="8" t="s">
        <v>110</v>
      </c>
      <c r="G20" s="45">
        <v>480</v>
      </c>
      <c r="H20" s="45">
        <f t="shared" si="9"/>
        <v>11520</v>
      </c>
      <c r="I20" s="8">
        <f t="shared" si="10"/>
        <v>1.1519999999999999</v>
      </c>
      <c r="K20" s="46" t="s">
        <v>143</v>
      </c>
      <c r="L20" s="56" t="s">
        <v>139</v>
      </c>
      <c r="M20" t="s">
        <v>148</v>
      </c>
      <c r="N20" t="s">
        <v>187</v>
      </c>
      <c r="O20" s="8" t="s">
        <v>157</v>
      </c>
    </row>
    <row r="21" spans="1:15" ht="20.25" x14ac:dyDescent="0.35">
      <c r="A21" s="23"/>
      <c r="B21" t="s">
        <v>42</v>
      </c>
      <c r="C21" t="s">
        <v>56</v>
      </c>
      <c r="D21" s="16">
        <v>2</v>
      </c>
      <c r="E21">
        <v>24</v>
      </c>
      <c r="F21" s="8" t="s">
        <v>71</v>
      </c>
      <c r="G21" s="45">
        <v>960</v>
      </c>
      <c r="H21" s="45">
        <f t="shared" si="9"/>
        <v>23040</v>
      </c>
      <c r="I21" s="8">
        <f t="shared" si="10"/>
        <v>2.3039999999999998</v>
      </c>
      <c r="K21" s="46" t="s">
        <v>142</v>
      </c>
      <c r="L21" s="56" t="s">
        <v>140</v>
      </c>
      <c r="M21" t="s">
        <v>149</v>
      </c>
      <c r="N21" t="s">
        <v>188</v>
      </c>
      <c r="O21" s="8" t="s">
        <v>158</v>
      </c>
    </row>
    <row r="22" spans="1:15" ht="20.25" x14ac:dyDescent="0.35">
      <c r="A22" s="24"/>
      <c r="B22" s="7" t="s">
        <v>43</v>
      </c>
      <c r="C22" s="7" t="s">
        <v>56</v>
      </c>
      <c r="D22" s="18">
        <v>1</v>
      </c>
      <c r="E22" s="7">
        <v>20</v>
      </c>
      <c r="F22" s="9" t="s">
        <v>72</v>
      </c>
      <c r="G22" s="45">
        <v>480</v>
      </c>
      <c r="H22" s="45">
        <f t="shared" si="9"/>
        <v>9600</v>
      </c>
      <c r="I22" s="8">
        <f t="shared" si="10"/>
        <v>0.96</v>
      </c>
      <c r="L22" s="56" t="s">
        <v>141</v>
      </c>
      <c r="M22" t="s">
        <v>149</v>
      </c>
      <c r="N22" t="s">
        <v>150</v>
      </c>
      <c r="O22" s="8" t="s">
        <v>159</v>
      </c>
    </row>
    <row r="23" spans="1:15" x14ac:dyDescent="0.3">
      <c r="A23" s="22" t="s">
        <v>49</v>
      </c>
      <c r="B23" s="13" t="s">
        <v>50</v>
      </c>
      <c r="C23" s="13" t="s">
        <v>55</v>
      </c>
      <c r="D23" s="19">
        <v>1</v>
      </c>
      <c r="E23" s="13">
        <v>36</v>
      </c>
      <c r="F23" s="5" t="s">
        <v>77</v>
      </c>
      <c r="G23" s="45">
        <v>700</v>
      </c>
      <c r="H23" s="45">
        <f t="shared" si="9"/>
        <v>25200</v>
      </c>
      <c r="I23" s="8">
        <f t="shared" si="10"/>
        <v>2.52</v>
      </c>
    </row>
    <row r="24" spans="1:15" x14ac:dyDescent="0.3">
      <c r="A24" s="23"/>
      <c r="B24" t="s">
        <v>51</v>
      </c>
      <c r="C24" t="s">
        <v>56</v>
      </c>
      <c r="D24" s="16">
        <v>1</v>
      </c>
      <c r="E24">
        <v>18</v>
      </c>
      <c r="F24" s="8" t="s">
        <v>78</v>
      </c>
      <c r="G24" s="45">
        <v>420</v>
      </c>
      <c r="H24" s="45">
        <f t="shared" si="9"/>
        <v>7560</v>
      </c>
      <c r="I24" s="8">
        <f t="shared" si="10"/>
        <v>0.75600000000000001</v>
      </c>
    </row>
    <row r="25" spans="1:15" x14ac:dyDescent="0.3">
      <c r="A25" s="23"/>
      <c r="B25" t="s">
        <v>53</v>
      </c>
      <c r="C25" t="s">
        <v>56</v>
      </c>
      <c r="D25" s="16">
        <v>1</v>
      </c>
      <c r="E25">
        <v>24</v>
      </c>
      <c r="F25" s="8" t="s">
        <v>80</v>
      </c>
      <c r="G25" s="45">
        <v>420</v>
      </c>
      <c r="H25" s="45">
        <f t="shared" si="9"/>
        <v>10080</v>
      </c>
      <c r="I25" s="8">
        <f t="shared" si="10"/>
        <v>1.008</v>
      </c>
    </row>
    <row r="26" spans="1:15" x14ac:dyDescent="0.3">
      <c r="A26" s="24"/>
      <c r="B26" s="7" t="s">
        <v>54</v>
      </c>
      <c r="C26" s="7" t="s">
        <v>57</v>
      </c>
      <c r="D26" s="18">
        <v>1</v>
      </c>
      <c r="E26" s="7">
        <v>6</v>
      </c>
      <c r="F26" s="8" t="s">
        <v>81</v>
      </c>
      <c r="G26" s="35">
        <v>250</v>
      </c>
      <c r="H26" s="35">
        <f t="shared" si="9"/>
        <v>1500</v>
      </c>
      <c r="I26" s="9">
        <f t="shared" si="10"/>
        <v>0.15</v>
      </c>
    </row>
    <row r="27" spans="1:15" x14ac:dyDescent="0.3">
      <c r="F27" s="47" t="s">
        <v>177</v>
      </c>
      <c r="G27" s="48">
        <f t="shared" ref="G27:H27" si="11">SUM(G6:G26)</f>
        <v>24280</v>
      </c>
      <c r="H27" s="48">
        <f t="shared" si="11"/>
        <v>688080</v>
      </c>
      <c r="I27" s="49">
        <f>SUM(I3:I26)</f>
        <v>84.323999999999998</v>
      </c>
    </row>
    <row r="28" spans="1:15" ht="20.25" x14ac:dyDescent="0.35">
      <c r="A28" s="41"/>
      <c r="B28" s="42"/>
      <c r="C28" s="41" t="s">
        <v>116</v>
      </c>
      <c r="D28" s="42"/>
      <c r="E28" s="42"/>
      <c r="F28" s="42"/>
      <c r="G28" s="42" t="s">
        <v>172</v>
      </c>
      <c r="H28" s="42" t="s">
        <v>161</v>
      </c>
      <c r="I28" s="42" t="s">
        <v>178</v>
      </c>
      <c r="K28" s="80" t="s">
        <v>191</v>
      </c>
      <c r="L28" s="90" t="s">
        <v>201</v>
      </c>
      <c r="M28" s="91"/>
      <c r="N28" s="91" t="s">
        <v>202</v>
      </c>
      <c r="O28" s="92"/>
    </row>
    <row r="29" spans="1:15" ht="17.25" x14ac:dyDescent="0.3">
      <c r="A29" s="25" t="s">
        <v>44</v>
      </c>
      <c r="B29" s="13" t="s">
        <v>45</v>
      </c>
      <c r="C29" s="13" t="s">
        <v>55</v>
      </c>
      <c r="D29" s="19">
        <v>1</v>
      </c>
      <c r="E29" s="13">
        <v>14</v>
      </c>
      <c r="F29" s="5" t="s">
        <v>73</v>
      </c>
      <c r="G29" s="5">
        <v>720</v>
      </c>
      <c r="H29" s="13">
        <v>14</v>
      </c>
      <c r="I29" s="34">
        <f>(G29*H29)</f>
        <v>10080</v>
      </c>
      <c r="K29" s="81"/>
      <c r="L29" s="88" t="s">
        <v>192</v>
      </c>
      <c r="M29" s="89"/>
      <c r="N29" s="93" t="s">
        <v>203</v>
      </c>
      <c r="O29" s="94"/>
    </row>
    <row r="30" spans="1:15" ht="17.25" x14ac:dyDescent="0.3">
      <c r="A30" s="26"/>
      <c r="B30" t="s">
        <v>46</v>
      </c>
      <c r="C30" t="s">
        <v>56</v>
      </c>
      <c r="D30" s="16">
        <v>1</v>
      </c>
      <c r="E30">
        <v>7</v>
      </c>
      <c r="F30" s="8" t="s">
        <v>74</v>
      </c>
      <c r="G30" s="8">
        <v>200</v>
      </c>
      <c r="H30">
        <v>25</v>
      </c>
      <c r="I30" s="45">
        <f t="shared" ref="I30:I31" si="12">(G30*H30)</f>
        <v>5000</v>
      </c>
      <c r="K30" s="81"/>
      <c r="L30" s="84" t="s">
        <v>200</v>
      </c>
      <c r="M30" s="85"/>
      <c r="N30" s="95" t="s">
        <v>204</v>
      </c>
      <c r="O30" s="96"/>
    </row>
    <row r="31" spans="1:15" ht="17.25" x14ac:dyDescent="0.3">
      <c r="A31" s="26"/>
      <c r="B31" t="s">
        <v>47</v>
      </c>
      <c r="C31" t="s">
        <v>56</v>
      </c>
      <c r="D31" s="16">
        <v>1</v>
      </c>
      <c r="E31">
        <v>18</v>
      </c>
      <c r="F31" s="8" t="s">
        <v>75</v>
      </c>
      <c r="G31" s="8">
        <v>10</v>
      </c>
      <c r="H31">
        <v>550</v>
      </c>
      <c r="I31" s="45">
        <f t="shared" si="12"/>
        <v>5500</v>
      </c>
      <c r="K31" s="81"/>
      <c r="L31" s="84"/>
      <c r="M31" s="85"/>
      <c r="N31" s="95" t="s">
        <v>210</v>
      </c>
      <c r="O31" s="96"/>
    </row>
    <row r="32" spans="1:15" ht="17.25" x14ac:dyDescent="0.3">
      <c r="A32" s="27"/>
      <c r="B32" s="7" t="s">
        <v>48</v>
      </c>
      <c r="C32" s="7" t="s">
        <v>55</v>
      </c>
      <c r="D32" s="18">
        <v>10</v>
      </c>
      <c r="E32" s="7">
        <v>4</v>
      </c>
      <c r="F32" s="9" t="s">
        <v>76</v>
      </c>
      <c r="G32" s="9">
        <v>1500</v>
      </c>
      <c r="H32" s="7">
        <v>10</v>
      </c>
      <c r="I32" s="35">
        <f>(G32*H32)</f>
        <v>15000</v>
      </c>
      <c r="K32" s="81"/>
      <c r="L32" s="86"/>
      <c r="M32" s="87"/>
      <c r="N32" s="82" t="s">
        <v>211</v>
      </c>
      <c r="O32" s="83"/>
    </row>
    <row r="33" spans="1:10" x14ac:dyDescent="0.3">
      <c r="A33" s="31" t="s">
        <v>49</v>
      </c>
      <c r="B33" s="2" t="s">
        <v>52</v>
      </c>
      <c r="C33" s="2" t="s">
        <v>57</v>
      </c>
      <c r="D33" s="32">
        <v>4</v>
      </c>
      <c r="E33" s="2">
        <v>12</v>
      </c>
      <c r="F33" s="3" t="s">
        <v>79</v>
      </c>
      <c r="G33" s="3">
        <v>250</v>
      </c>
      <c r="H33" s="65" t="s">
        <v>162</v>
      </c>
      <c r="I33" s="9">
        <v>12000</v>
      </c>
    </row>
    <row r="34" spans="1:10" x14ac:dyDescent="0.3">
      <c r="H34" s="47" t="s">
        <v>177</v>
      </c>
      <c r="I34" s="3">
        <f>(SUM(I29:I33)/10000)</f>
        <v>4.758</v>
      </c>
    </row>
    <row r="35" spans="1:10" ht="20.25" x14ac:dyDescent="0.35">
      <c r="A35" s="43"/>
      <c r="B35" s="43"/>
      <c r="C35" s="43" t="s">
        <v>129</v>
      </c>
      <c r="D35" s="43"/>
      <c r="E35" s="43"/>
      <c r="F35" s="43"/>
    </row>
    <row r="36" spans="1:10" x14ac:dyDescent="0.3">
      <c r="A36" s="50"/>
      <c r="B36" s="51" t="s">
        <v>164</v>
      </c>
      <c r="C36" s="51" t="s">
        <v>165</v>
      </c>
      <c r="D36" s="51" t="s">
        <v>172</v>
      </c>
      <c r="E36" s="51" t="s">
        <v>168</v>
      </c>
      <c r="F36" s="52" t="s">
        <v>5</v>
      </c>
    </row>
    <row r="37" spans="1:10" x14ac:dyDescent="0.3">
      <c r="A37" s="26" t="s">
        <v>131</v>
      </c>
      <c r="B37" t="s">
        <v>166</v>
      </c>
      <c r="C37" t="s">
        <v>167</v>
      </c>
      <c r="D37">
        <v>15</v>
      </c>
      <c r="E37">
        <v>1.78</v>
      </c>
      <c r="F37" s="8" t="s">
        <v>169</v>
      </c>
    </row>
    <row r="38" spans="1:10" x14ac:dyDescent="0.3">
      <c r="A38" s="26" t="s">
        <v>132</v>
      </c>
      <c r="B38" t="s">
        <v>170</v>
      </c>
      <c r="C38" t="s">
        <v>167</v>
      </c>
      <c r="D38">
        <v>300</v>
      </c>
      <c r="E38">
        <v>1.8</v>
      </c>
      <c r="F38" s="8" t="s">
        <v>174</v>
      </c>
    </row>
    <row r="39" spans="1:10" x14ac:dyDescent="0.3">
      <c r="A39" s="26" t="s">
        <v>163</v>
      </c>
      <c r="B39" t="s">
        <v>171</v>
      </c>
      <c r="C39" t="s">
        <v>173</v>
      </c>
      <c r="D39">
        <v>500</v>
      </c>
      <c r="E39">
        <v>0.2</v>
      </c>
      <c r="F39" s="8" t="s">
        <v>176</v>
      </c>
    </row>
    <row r="40" spans="1:10" x14ac:dyDescent="0.3">
      <c r="A40" s="27" t="s">
        <v>130</v>
      </c>
      <c r="B40" s="7" t="s">
        <v>170</v>
      </c>
      <c r="C40" s="7" t="s">
        <v>173</v>
      </c>
      <c r="D40" s="66">
        <v>12000</v>
      </c>
      <c r="E40" s="7">
        <v>1.2</v>
      </c>
      <c r="F40" s="9" t="s">
        <v>175</v>
      </c>
    </row>
    <row r="41" spans="1:10" x14ac:dyDescent="0.3">
      <c r="D41" s="67" t="s">
        <v>177</v>
      </c>
      <c r="E41" s="3">
        <f>SUM(E37:E40)</f>
        <v>4.9800000000000004</v>
      </c>
    </row>
    <row r="42" spans="1:10" ht="20.25" x14ac:dyDescent="0.35">
      <c r="A42" s="43"/>
      <c r="B42" s="43"/>
      <c r="C42" s="43" t="s">
        <v>186</v>
      </c>
      <c r="D42" s="43"/>
      <c r="E42" s="43"/>
      <c r="F42" s="43"/>
      <c r="G42" s="43"/>
    </row>
    <row r="43" spans="1:10" x14ac:dyDescent="0.3">
      <c r="A43" s="50"/>
      <c r="B43" s="73" t="s">
        <v>180</v>
      </c>
      <c r="C43" s="73" t="s">
        <v>160</v>
      </c>
      <c r="D43" s="73" t="s">
        <v>184</v>
      </c>
      <c r="E43" s="51" t="s">
        <v>5</v>
      </c>
      <c r="F43" s="51"/>
      <c r="G43" s="52"/>
    </row>
    <row r="44" spans="1:10" x14ac:dyDescent="0.3">
      <c r="A44" s="27" t="s">
        <v>179</v>
      </c>
      <c r="B44" s="74" t="s">
        <v>181</v>
      </c>
      <c r="C44" s="75" t="s">
        <v>182</v>
      </c>
      <c r="D44" s="74">
        <v>3</v>
      </c>
      <c r="E44" s="71" t="s">
        <v>183</v>
      </c>
      <c r="F44" s="71"/>
      <c r="G44" s="72"/>
    </row>
    <row r="46" spans="1:10" ht="26.25" x14ac:dyDescent="0.45">
      <c r="A46" s="69" t="s">
        <v>189</v>
      </c>
      <c r="B46" s="70">
        <f>SUM(E41,I34,I27,D44)</f>
        <v>97.061999999999998</v>
      </c>
    </row>
    <row r="47" spans="1:10" x14ac:dyDescent="0.3">
      <c r="J47" t="s">
        <v>199</v>
      </c>
    </row>
  </sheetData>
  <mergeCells count="8">
    <mergeCell ref="N32:O32"/>
    <mergeCell ref="L30:M32"/>
    <mergeCell ref="L29:M29"/>
    <mergeCell ref="L28:M28"/>
    <mergeCell ref="N28:O28"/>
    <mergeCell ref="N29:O29"/>
    <mergeCell ref="N30:O30"/>
    <mergeCell ref="N31:O3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팀 구조</vt:lpstr>
      <vt:lpstr>예산 측정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정동호</dc:creator>
  <cp:lastModifiedBy>정동호(2021180037)</cp:lastModifiedBy>
  <dcterms:created xsi:type="dcterms:W3CDTF">2015-06-05T18:19:34Z</dcterms:created>
  <dcterms:modified xsi:type="dcterms:W3CDTF">2025-12-02T08:10:39Z</dcterms:modified>
</cp:coreProperties>
</file>